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rnro\Downloads\"/>
    </mc:Choice>
  </mc:AlternateContent>
  <xr:revisionPtr revIDLastSave="0" documentId="8_{6EA7DFAA-7EF2-4E7D-8934-A069F72A45A5}" xr6:coauthVersionLast="47" xr6:coauthVersionMax="47" xr10:uidLastSave="{00000000-0000-0000-0000-000000000000}"/>
  <bookViews>
    <workbookView xWindow="-120" yWindow="-120" windowWidth="20730" windowHeight="110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  <definedName name="tbl_annual_value">C̳álculos!$B$8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3" l="1"/>
  <c r="D24" i="3"/>
</calcChain>
</file>

<file path=xl/sharedStrings.xml><?xml version="1.0" encoding="utf-8"?>
<sst xmlns="http://schemas.openxmlformats.org/spreadsheetml/2006/main" count="2015" uniqueCount="323">
  <si>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</si>
  <si>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</si>
  <si>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</si>
  <si>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</si>
  <si>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</si>
  <si>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</si>
  <si>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</si>
  <si>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</si>
  <si>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</si>
  <si>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</si>
  <si>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</si>
  <si>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</si>
  <si>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</si>
  <si>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</si>
  <si>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</si>
  <si>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</si>
  <si>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</si>
  <si>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</si>
  <si>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</si>
  <si>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</si>
  <si>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</si>
  <si>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</si>
  <si>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</si>
  <si>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</si>
  <si>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</si>
  <si>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</si>
  <si>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</si>
  <si>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</si>
  <si>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</si>
  <si>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</si>
  <si>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</si>
  <si>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</si>
  <si>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</si>
  <si>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</si>
  <si>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</si>
  <si>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</si>
  <si>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</si>
  <si>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</si>
  <si>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</si>
  <si>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</si>
  <si>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</si>
  <si>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</si>
  <si>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</si>
  <si>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</si>
  <si>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</si>
  <si>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</si>
  <si>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</si>
  <si>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</si>
  <si>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</si>
  <si>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</si>
  <si>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</si>
  <si>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</si>
  <si>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</si>
  <si>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</si>
  <si>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</si>
  <si>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</si>
  <si>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</si>
  <si>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</si>
  <si>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</si>
  <si>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</si>
  <si>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</si>
  <si>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</si>
  <si>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</si>
  <si>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</si>
  <si>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</si>
  <si>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</si>
  <si>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</si>
  <si>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</si>
  <si>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</si>
  <si>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</si>
  <si>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</si>
  <si>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</si>
  <si>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</si>
  <si>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</si>
  <si>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</si>
  <si>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</si>
  <si>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</si>
  <si>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</si>
  <si>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</si>
  <si>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</si>
  <si>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</si>
  <si>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</si>
  <si>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</si>
  <si>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</si>
  <si>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</si>
  <si>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</si>
  <si>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</si>
  <si>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</si>
  <si>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</si>
  <si>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</si>
  <si>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</si>
  <si>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</si>
  <si>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</si>
  <si>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</si>
  <si>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</si>
  <si>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</si>
  <si>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</si>
  <si>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</si>
  <si>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</si>
  <si>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</si>
  <si>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</si>
  <si>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</si>
  <si>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</si>
  <si>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</si>
  <si>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</si>
  <si>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</si>
  <si>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</si>
  <si>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</si>
  <si>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</si>
  <si>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</si>
  <si>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</si>
  <si>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</si>
  <si>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</si>
  <si>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</si>
  <si>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</si>
  <si>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</si>
  <si>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</si>
  <si>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</si>
  <si>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</si>
  <si>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</si>
  <si>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</si>
  <si>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</si>
  <si>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</si>
  <si>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</si>
  <si>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</si>
  <si>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</si>
  <si>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</si>
  <si>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</si>
  <si>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</si>
  <si>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</si>
  <si>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</si>
  <si>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</si>
  <si>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</si>
  <si>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</si>
  <si>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</si>
  <si>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</si>
  <si>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</si>
  <si>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</si>
  <si>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</si>
  <si>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</si>
  <si>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</si>
  <si>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</si>
  <si>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</si>
  <si>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</si>
  <si>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</si>
  <si>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</si>
  <si>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</si>
  <si>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</si>
  <si>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</si>
  <si>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</si>
  <si>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</si>
  <si>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</si>
  <si>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</si>
  <si>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</si>
  <si>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</si>
  <si>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</si>
  <si>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</si>
  <si>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</si>
  <si>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</si>
  <si>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</si>
  <si>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</si>
  <si>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</si>
  <si>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</si>
  <si>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</si>
  <si>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</si>
  <si>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</si>
  <si>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</si>
  <si>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</si>
  <si>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</si>
  <si>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</si>
  <si>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</si>
  <si>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</si>
  <si>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</si>
  <si>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</si>
  <si>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</si>
  <si>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</si>
  <si>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</si>
  <si>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</si>
  <si>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</si>
  <si>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</si>
  <si>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</si>
  <si>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</si>
  <si>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</si>
  <si>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</si>
  <si>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</si>
  <si>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</si>
  <si>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</si>
  <si>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</si>
  <si>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</si>
  <si>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</si>
  <si>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</si>
  <si>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</si>
  <si>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</si>
  <si>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</si>
  <si>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</si>
  <si>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</si>
  <si>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</si>
  <si>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</si>
  <si>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</si>
  <si>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</si>
  <si>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</si>
  <si>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</si>
  <si>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</si>
  <si>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</si>
  <si>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</si>
  <si>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</si>
  <si>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</si>
  <si>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</si>
  <si>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</si>
  <si>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</si>
  <si>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</si>
  <si>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</si>
  <si>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</si>
  <si>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</si>
  <si>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</si>
  <si>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</si>
  <si>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</si>
  <si>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</si>
  <si>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</si>
  <si>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</si>
  <si>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</si>
  <si>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</si>
  <si>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</si>
  <si>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</si>
  <si>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</si>
  <si>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</si>
  <si>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</si>
  <si>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</si>
  <si>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</si>
  <si>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</si>
  <si>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</si>
  <si>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</si>
  <si>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</si>
  <si>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</si>
  <si>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</si>
  <si>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</si>
  <si>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</si>
  <si>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</si>
  <si>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</si>
  <si>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</si>
  <si>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</si>
  <si>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</si>
  <si>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</si>
  <si>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</si>
  <si>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</si>
  <si>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</si>
  <si>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</si>
  <si>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</si>
  <si>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</si>
  <si>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</si>
  <si>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</si>
  <si>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</si>
  <si>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</si>
  <si>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</si>
  <si>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</si>
  <si>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</si>
  <si>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</si>
  <si>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</si>
  <si>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</si>
  <si>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</si>
  <si>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</si>
  <si>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</si>
  <si>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</si>
  <si>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</si>
  <si>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</si>
  <si>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</si>
  <si>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</si>
  <si>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</si>
  <si>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</si>
  <si>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</si>
  <si>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</si>
  <si>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</si>
  <si>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</si>
  <si>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</si>
  <si>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</si>
  <si>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</si>
  <si>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</si>
  <si>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</si>
  <si>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</si>
  <si>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</si>
  <si>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</si>
  <si>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</si>
  <si>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</si>
  <si>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</si>
  <si>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</si>
  <si>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</si>
  <si>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</si>
  <si>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</si>
  <si>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</si>
  <si>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</si>
  <si>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</si>
  <si>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</si>
  <si>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</si>
  <si>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</si>
  <si>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</si>
  <si>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</si>
  <si>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</si>
  <si>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</si>
  <si>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</si>
  <si>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</si>
  <si>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</si>
  <si>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</si>
  <si>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</si>
  <si>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</si>
  <si>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</si>
  <si>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</si>
  <si>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</si>
  <si>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</si>
  <si>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</si>
  <si>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</si>
  <si>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</si>
  <si>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</si>
  <si>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</si>
  <si>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Qual faturamento Total de Vendas de planos anuais (contendo todas as assinaturas agregadas)</t>
  </si>
  <si>
    <t>Soma de Total Value</t>
  </si>
  <si>
    <t>Rótulos de Linha</t>
  </si>
  <si>
    <t>Total Geral</t>
  </si>
  <si>
    <t>Qual o faturamento Total de Vendas de planos anuais, separado por auto renovação e não é por autorenovação</t>
  </si>
  <si>
    <t>XBOX GAME PASS SUBSCRIPTIONS SALES</t>
  </si>
  <si>
    <t>O Total de Vendas de assinatura do EA Play</t>
  </si>
  <si>
    <t>Soma de EA Play Season Pass</t>
  </si>
  <si>
    <t>O Total de Vendas de assinatura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</si>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</sst>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Border="1"/>
    <xf numFmtId="0" fontId="5" fillId="0" borderId="2" xfId="1" applyFont="1" applyBorder="1"/>
    <xf numFmtId="0" fontId="4" fillId="0" borderId="2" xfId="1" applyFont="1" applyBorder="1"/>
    <xf numFmtId="0" fontId="0" fillId="0" borderId="0" xfId="0" applyNumberFormat="1"/>
    <xf numFmtId="44" fontId="0" fillId="0" borderId="0" xfId="2" applyFont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auto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4494ED30-0166-4E1D-8D7B-48BEF86DD54E}">
      <tableStyleElement type="wholeTable" dxfId="1"/>
      <tableStyleElement type="headerRow" dxfId="0"/>
    </tableStyle>
  </tableStyles>
  <colors>
    <mruColors>
      <color rgb="FF5BF6A8"/>
      <color rgb="FF22C55E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[Projeto_Dashboard.xlsx]C̳álculos!Tabela dinâmica1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5BF6A8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250167026444398E-2"/>
          <c:y val="5.4892481512957815E-2"/>
          <c:w val="0.90839650794617821"/>
          <c:h val="0.882947726257245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5BF6A8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C̳álculos!$B$9:$B$12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Annual</c:v>
                  </c:pt>
                </c:lvl>
              </c:multiLvlStrCache>
            </c:multiLvlStrRef>
          </c:cat>
          <c:val>
            <c:numRef>
              <c:f>C̳álculos!$C$9:$C$12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A-47FA-B47B-E74434709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5097743"/>
        <c:axId val="815096783"/>
      </c:barChart>
      <c:catAx>
        <c:axId val="81509774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15096783"/>
        <c:crosses val="autoZero"/>
        <c:auto val="1"/>
        <c:lblAlgn val="ctr"/>
        <c:lblOffset val="100"/>
        <c:noMultiLvlLbl val="0"/>
      </c:catAx>
      <c:valAx>
        <c:axId val="81509678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81509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116416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116416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107155</xdr:colOff>
      <xdr:row>0</xdr:row>
      <xdr:rowOff>95250</xdr:rowOff>
    </xdr:from>
    <xdr:to>
      <xdr:col>0</xdr:col>
      <xdr:colOff>726281</xdr:colOff>
      <xdr:row>1</xdr:row>
      <xdr:rowOff>416719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884ADDF-92CF-44F6-8696-FCED45023D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5" t="23296" r="71123" b="24292"/>
        <a:stretch>
          <a:fillRect/>
        </a:stretch>
      </xdr:blipFill>
      <xdr:spPr>
        <a:xfrm>
          <a:off x="107155" y="95250"/>
          <a:ext cx="619126" cy="51196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</xdr:row>
      <xdr:rowOff>238123</xdr:rowOff>
    </xdr:from>
    <xdr:to>
      <xdr:col>0</xdr:col>
      <xdr:colOff>1809750</xdr:colOff>
      <xdr:row>16</xdr:row>
      <xdr:rowOff>130967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FA66E3EE-0BE4-4071-B31F-B16D310B3D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928686"/>
              <a:ext cx="1809749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440532</xdr:colOff>
      <xdr:row>4</xdr:row>
      <xdr:rowOff>47624</xdr:rowOff>
    </xdr:from>
    <xdr:to>
      <xdr:col>11</xdr:col>
      <xdr:colOff>95251</xdr:colOff>
      <xdr:row>12</xdr:row>
      <xdr:rowOff>1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E4F81D36-92A8-34B4-234A-8EEDA7DB6F48}"/>
            </a:ext>
          </a:extLst>
        </xdr:cNvPr>
        <xdr:cNvGrpSpPr/>
      </xdr:nvGrpSpPr>
      <xdr:grpSpPr>
        <a:xfrm>
          <a:off x="2512220" y="1083468"/>
          <a:ext cx="5119687" cy="1476377"/>
          <a:chOff x="1940719" y="1273969"/>
          <a:chExt cx="5476875" cy="1476377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46E3BE34-1625-3CAB-2923-E3D58E10ADCC}"/>
              </a:ext>
            </a:extLst>
          </xdr:cNvPr>
          <xdr:cNvGrpSpPr/>
        </xdr:nvGrpSpPr>
        <xdr:grpSpPr>
          <a:xfrm>
            <a:off x="1940719" y="1273970"/>
            <a:ext cx="5476875" cy="1464468"/>
            <a:chOff x="2369344" y="1273969"/>
            <a:chExt cx="4488656" cy="2128442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27DE15FE-2795-F7C5-0CDB-AC23367D49BB}"/>
                </a:ext>
              </a:extLst>
            </xdr:cNvPr>
            <xdr:cNvSpPr/>
          </xdr:nvSpPr>
          <xdr:spPr>
            <a:xfrm>
              <a:off x="2369344" y="1273969"/>
              <a:ext cx="4488656" cy="2119312"/>
            </a:xfrm>
            <a:prstGeom prst="roundRect">
              <a:avLst>
                <a:gd name="adj" fmla="val 1048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solidFill>
                  <a:srgbClr val="5BF6A8"/>
                </a:solidFill>
              </a:endParaRPr>
            </a:p>
          </xdr:txBody>
        </xdr:sp>
        <xdr:sp macro="" textlink="C̳álculos!D24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1E0EAE69-BB99-4D50-B2F9-8D017F61BF12}"/>
                </a:ext>
              </a:extLst>
            </xdr:cNvPr>
            <xdr:cNvSpPr/>
          </xdr:nvSpPr>
          <xdr:spPr>
            <a:xfrm>
              <a:off x="3442718" y="1926036"/>
              <a:ext cx="3293269" cy="1476375"/>
            </a:xfrm>
            <a:prstGeom prst="roundRect">
              <a:avLst>
                <a:gd name="adj" fmla="val 5377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30245E2D-CF7C-40DE-BE38-378501E58FF0}" type="TxLink">
                <a:rPr lang="en-US" sz="4400" b="1" i="0" u="none" strike="noStrike">
                  <a:solidFill>
                    <a:srgbClr val="5BF6A8"/>
                  </a:solidFill>
                  <a:latin typeface="Aptos Narrow"/>
                </a:rPr>
                <a:pPr algn="ctr"/>
                <a:t> R$ 600,00 </a:t>
              </a:fld>
              <a:endParaRPr lang="pt-BR" sz="4400" b="1">
                <a:solidFill>
                  <a:srgbClr val="5BF6A8"/>
                </a:solidFill>
              </a:endParaRPr>
            </a:p>
          </xdr:txBody>
        </xdr:sp>
      </xdr:grp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D62D78B3-089A-4D0D-9CEE-8F9F8E281A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93157" y="1619252"/>
            <a:ext cx="1219200" cy="1131094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858F53A5-36C7-5E2E-0605-1AF0F5A32CEC}"/>
              </a:ext>
            </a:extLst>
          </xdr:cNvPr>
          <xdr:cNvSpPr/>
        </xdr:nvSpPr>
        <xdr:spPr>
          <a:xfrm>
            <a:off x="1964531" y="1273969"/>
            <a:ext cx="5441156" cy="4286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20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 EA SEASON PASS</a:t>
            </a:r>
            <a:endParaRPr lang="pt-BR" sz="20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12</xdr:col>
      <xdr:colOff>130969</xdr:colOff>
      <xdr:row>4</xdr:row>
      <xdr:rowOff>71438</xdr:rowOff>
    </xdr:from>
    <xdr:to>
      <xdr:col>20</xdr:col>
      <xdr:colOff>381000</xdr:colOff>
      <xdr:row>12</xdr:row>
      <xdr:rowOff>23813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B6EC6979-E17C-B5E7-42D9-245812412D34}"/>
            </a:ext>
          </a:extLst>
        </xdr:cNvPr>
        <xdr:cNvGrpSpPr/>
      </xdr:nvGrpSpPr>
      <xdr:grpSpPr>
        <a:xfrm>
          <a:off x="8108157" y="1107282"/>
          <a:ext cx="5107781" cy="1476375"/>
          <a:chOff x="8584406" y="1083469"/>
          <a:chExt cx="5476875" cy="1476375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BA0C599F-3848-41D5-B513-6C413D5CE499}"/>
              </a:ext>
            </a:extLst>
          </xdr:cNvPr>
          <xdr:cNvGrpSpPr/>
        </xdr:nvGrpSpPr>
        <xdr:grpSpPr>
          <a:xfrm>
            <a:off x="8584406" y="1083469"/>
            <a:ext cx="5476875" cy="1476375"/>
            <a:chOff x="1940719" y="1273969"/>
            <a:chExt cx="5476875" cy="1464469"/>
          </a:xfrm>
        </xdr:grpSpPr>
        <xdr:grpSp>
          <xdr:nvGrpSpPr>
            <xdr:cNvPr id="16" name="Agrupar 15">
              <a:extLst>
                <a:ext uri="{FF2B5EF4-FFF2-40B4-BE49-F238E27FC236}">
                  <a16:creationId xmlns:a16="http://schemas.microsoft.com/office/drawing/2014/main" id="{1B5B2C80-285F-A82D-6DD7-94F74E3ABA6D}"/>
                </a:ext>
              </a:extLst>
            </xdr:cNvPr>
            <xdr:cNvGrpSpPr/>
          </xdr:nvGrpSpPr>
          <xdr:grpSpPr>
            <a:xfrm>
              <a:off x="1940719" y="1273970"/>
              <a:ext cx="5476875" cy="1464468"/>
              <a:chOff x="2369344" y="1273969"/>
              <a:chExt cx="4488656" cy="2128442"/>
            </a:xfrm>
          </xdr:grpSpPr>
          <xdr:sp macro="" textlink="">
            <xdr:nvSpPr>
              <xdr:cNvPr id="19" name="Retângulo: Cantos Arredondados 18">
                <a:extLst>
                  <a:ext uri="{FF2B5EF4-FFF2-40B4-BE49-F238E27FC236}">
                    <a16:creationId xmlns:a16="http://schemas.microsoft.com/office/drawing/2014/main" id="{1C4A7E9A-2D1A-10DC-817E-C24E963A81EF}"/>
                  </a:ext>
                </a:extLst>
              </xdr:cNvPr>
              <xdr:cNvSpPr/>
            </xdr:nvSpPr>
            <xdr:spPr>
              <a:xfrm>
                <a:off x="2369344" y="1273969"/>
                <a:ext cx="4488656" cy="2119312"/>
              </a:xfrm>
              <a:prstGeom prst="roundRect">
                <a:avLst>
                  <a:gd name="adj" fmla="val 10487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>
                  <a:solidFill>
                    <a:srgbClr val="5BF6A8"/>
                  </a:solidFill>
                </a:endParaRPr>
              </a:p>
            </xdr:txBody>
          </xdr:sp>
          <xdr:sp macro="" textlink="C̳álculos!D36">
            <xdr:nvSpPr>
              <xdr:cNvPr id="20" name="Retângulo: Cantos Arredondados 19">
                <a:extLst>
                  <a:ext uri="{FF2B5EF4-FFF2-40B4-BE49-F238E27FC236}">
                    <a16:creationId xmlns:a16="http://schemas.microsoft.com/office/drawing/2014/main" id="{85C6ECEB-015C-1F8F-C983-FD0ECBE5629A}"/>
                  </a:ext>
                </a:extLst>
              </xdr:cNvPr>
              <xdr:cNvSpPr/>
            </xdr:nvSpPr>
            <xdr:spPr>
              <a:xfrm>
                <a:off x="3442718" y="1926036"/>
                <a:ext cx="3293269" cy="1476375"/>
              </a:xfrm>
              <a:prstGeom prst="roundRect">
                <a:avLst>
                  <a:gd name="adj" fmla="val 5377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0078261A-9AD1-41FE-8375-FE043D04E0F9}" type="TxLink">
                  <a:rPr lang="en-US" sz="4000" b="1" i="0" u="none" strike="noStrike">
                    <a:solidFill>
                      <a:srgbClr val="5BF6A8"/>
                    </a:solidFill>
                    <a:latin typeface="+mn-lt"/>
                    <a:cs typeface="Segoe UI" panose="020B0502040204020203" pitchFamily="34" charset="0"/>
                  </a:rPr>
                  <a:t> R$ 940,00 </a:t>
                </a:fld>
                <a:endParaRPr lang="pt-BR" sz="4000" b="1">
                  <a:solidFill>
                    <a:srgbClr val="5BF6A8"/>
                  </a:solidFill>
                  <a:latin typeface="+mn-lt"/>
                  <a:cs typeface="Segoe UI" panose="020B0502040204020203" pitchFamily="34" charset="0"/>
                </a:endParaRPr>
              </a:p>
            </xdr:txBody>
          </xdr:sp>
        </xdr:grp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AC378CA2-7834-A588-B012-0536FF81A7C7}"/>
                </a:ext>
              </a:extLst>
            </xdr:cNvPr>
            <xdr:cNvSpPr/>
          </xdr:nvSpPr>
          <xdr:spPr>
            <a:xfrm>
              <a:off x="1940720" y="1273969"/>
              <a:ext cx="5476874" cy="42862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0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20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 MINECRAFT SEASON PASS</a:t>
              </a:r>
              <a:endParaRPr lang="pt-BR" sz="20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80663502-86D0-4C64-933C-BC4959886789}"/>
              </a:ext>
            </a:extLst>
          </xdr:cNvPr>
          <xdr:cNvGrpSpPr/>
        </xdr:nvGrpSpPr>
        <xdr:grpSpPr>
          <a:xfrm>
            <a:off x="8810624" y="1595430"/>
            <a:ext cx="1476375" cy="761998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46B566D2-9CB8-A4B8-074C-A0CE85B7064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1BDBF761-AC4D-41EA-0276-F5B041A05C6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142872</xdr:colOff>
      <xdr:row>13</xdr:row>
      <xdr:rowOff>71437</xdr:rowOff>
    </xdr:from>
    <xdr:to>
      <xdr:col>21</xdr:col>
      <xdr:colOff>154781</xdr:colOff>
      <xdr:row>34</xdr:row>
      <xdr:rowOff>130969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11C869A5-B85A-6DAE-832E-ABBC5C12DDDB}"/>
            </a:ext>
          </a:extLst>
        </xdr:cNvPr>
        <xdr:cNvGrpSpPr/>
      </xdr:nvGrpSpPr>
      <xdr:grpSpPr>
        <a:xfrm>
          <a:off x="2214560" y="2821781"/>
          <a:ext cx="11382377" cy="4060032"/>
          <a:chOff x="1857372" y="2738437"/>
          <a:chExt cx="12001503" cy="4060032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F33DD389-0E6C-E162-9988-C6F104E89916}"/>
              </a:ext>
            </a:extLst>
          </xdr:cNvPr>
          <xdr:cNvGrpSpPr/>
        </xdr:nvGrpSpPr>
        <xdr:grpSpPr>
          <a:xfrm>
            <a:off x="1857372" y="2738437"/>
            <a:ext cx="12001503" cy="4060032"/>
            <a:chOff x="1595436" y="1333501"/>
            <a:chExt cx="5453063" cy="333375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7694F1A8-2691-5FA7-2BBD-E076124CA549}"/>
                </a:ext>
              </a:extLst>
            </xdr:cNvPr>
            <xdr:cNvSpPr/>
          </xdr:nvSpPr>
          <xdr:spPr>
            <a:xfrm>
              <a:off x="1595436" y="1333501"/>
              <a:ext cx="5453063" cy="3333750"/>
            </a:xfrm>
            <a:prstGeom prst="roundRect">
              <a:avLst>
                <a:gd name="adj" fmla="val 773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6A6E7F26-B6F9-49C4-8A84-0FC9CC6C0EDC}"/>
                </a:ext>
              </a:extLst>
            </xdr:cNvPr>
            <xdr:cNvGraphicFramePr>
              <a:graphicFrameLocks/>
            </xdr:cNvGraphicFramePr>
          </xdr:nvGraphicFramePr>
          <xdr:xfrm>
            <a:off x="1631156" y="1393031"/>
            <a:ext cx="5394527" cy="303958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1" name="Retângulo: Cantos Superiores Arredondados 30">
            <a:extLst>
              <a:ext uri="{FF2B5EF4-FFF2-40B4-BE49-F238E27FC236}">
                <a16:creationId xmlns:a16="http://schemas.microsoft.com/office/drawing/2014/main" id="{6CB547A1-F8E2-45DD-B98D-F19C9294B7F4}"/>
              </a:ext>
            </a:extLst>
          </xdr:cNvPr>
          <xdr:cNvSpPr/>
        </xdr:nvSpPr>
        <xdr:spPr>
          <a:xfrm>
            <a:off x="1869281" y="2738437"/>
            <a:ext cx="11989593" cy="53578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20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</a:t>
            </a:r>
            <a:endParaRPr lang="pt-BR" sz="20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Rocha Neto" refreshedDate="46044.670059837961" createdVersion="8" refreshedVersion="8" minRefreshableVersion="3" recordCount="295" xr:uid="{9F37E5A0-5D95-4183-B387-0BA236083A0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1426033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CA342-D5E0-448D-BDF3-A2CCD567AB17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2:B33" firstHeaderRow="1" firstDataRow="1" firstDataCol="0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Items count="1">
    <i/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70DE7-4D4C-403E-A60B-F29E9C4BC5A4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B172F-C28D-4BD2-87EE-5D968BAB5501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>
  <location ref="B8:C12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2">
    <field x="6"/>
    <field x="4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40C1F2D-6773-4A2A-A816-1C14E35F0C90}" sourceName="Subscription Type">
  <pivotTables>
    <pivotTable tabId="3" name="Tabela dinâmica1"/>
    <pivotTable tabId="3" name="Tabela dinâmica2"/>
    <pivotTable tabId="3" name="Tabela dinâmica3"/>
  </pivotTables>
  <data>
    <tabular pivotCacheId="2142603352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FD40CCC-2320-48E0-86E0-0B833AA7CC62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0" zoomScaleNormal="100" workbookViewId="0">
      <selection activeCell="F28" sqref="F2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D36"/>
  <sheetViews>
    <sheetView showGridLines="0" topLeftCell="D1" workbookViewId="0">
      <selection activeCell="F16" sqref="F16"/>
    </sheetView>
  </sheetViews>
  <sheetFormatPr defaultRowHeight="15" x14ac:dyDescent="0.25"/>
  <cols>
    <col min="2" max="2" width="35.140625" bestFit="1" customWidth="1"/>
    <col min="3" max="3" width="9.5703125" bestFit="1" customWidth="1"/>
    <col min="4" max="4" width="30.5703125" bestFit="1" customWidth="1"/>
    <col min="5" max="5" width="18.42578125" bestFit="1" customWidth="1"/>
    <col min="6" max="6" width="32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1:3" x14ac:dyDescent="0.25">
      <c r="A2" t="s">
        <v>313</v>
      </c>
    </row>
    <row r="3" spans="1:3" x14ac:dyDescent="0.25">
      <c r="A3" t="s">
        <v>317</v>
      </c>
    </row>
    <row r="8" spans="1:3" x14ac:dyDescent="0.25">
      <c r="B8" s="13" t="s">
        <v>315</v>
      </c>
      <c r="C8" t="s">
        <v>314</v>
      </c>
    </row>
    <row r="9" spans="1:3" x14ac:dyDescent="0.25">
      <c r="B9" s="14" t="s">
        <v>24</v>
      </c>
      <c r="C9" s="12">
        <v>1754</v>
      </c>
    </row>
    <row r="10" spans="1:3" x14ac:dyDescent="0.25">
      <c r="B10" s="15" t="s">
        <v>23</v>
      </c>
      <c r="C10" s="12">
        <v>217</v>
      </c>
    </row>
    <row r="11" spans="1:3" x14ac:dyDescent="0.25">
      <c r="B11" s="15" t="s">
        <v>19</v>
      </c>
      <c r="C11" s="12">
        <v>1537</v>
      </c>
    </row>
    <row r="12" spans="1:3" x14ac:dyDescent="0.25">
      <c r="B12" s="14" t="s">
        <v>316</v>
      </c>
      <c r="C12" s="12">
        <v>1754</v>
      </c>
    </row>
    <row r="16" spans="1:3" x14ac:dyDescent="0.25">
      <c r="A16" t="s">
        <v>319</v>
      </c>
    </row>
    <row r="18" spans="1:4" x14ac:dyDescent="0.25">
      <c r="B18" s="13" t="s">
        <v>16</v>
      </c>
      <c r="C18" t="s">
        <v>24</v>
      </c>
    </row>
    <row r="20" spans="1:4" x14ac:dyDescent="0.25">
      <c r="B20" s="13" t="s">
        <v>315</v>
      </c>
      <c r="C20" t="s">
        <v>320</v>
      </c>
    </row>
    <row r="21" spans="1:4" x14ac:dyDescent="0.25">
      <c r="B21" s="14" t="s">
        <v>22</v>
      </c>
      <c r="C21" s="19">
        <v>0</v>
      </c>
    </row>
    <row r="22" spans="1:4" x14ac:dyDescent="0.25">
      <c r="B22" s="14" t="s">
        <v>26</v>
      </c>
      <c r="C22" s="19">
        <v>0</v>
      </c>
    </row>
    <row r="23" spans="1:4" x14ac:dyDescent="0.25">
      <c r="B23" s="14" t="s">
        <v>18</v>
      </c>
      <c r="C23" s="19">
        <v>600</v>
      </c>
    </row>
    <row r="24" spans="1:4" x14ac:dyDescent="0.25">
      <c r="B24" s="14" t="s">
        <v>316</v>
      </c>
      <c r="C24" s="19">
        <v>600</v>
      </c>
      <c r="D24" s="20">
        <f>GETPIVOTDATA("EA Play Season Pass
Price",$B$20,"Plan","Ultimate")</f>
        <v>600</v>
      </c>
    </row>
    <row r="28" spans="1:4" x14ac:dyDescent="0.25">
      <c r="A28" t="s">
        <v>321</v>
      </c>
    </row>
    <row r="30" spans="1:4" x14ac:dyDescent="0.25">
      <c r="B30" s="13" t="s">
        <v>16</v>
      </c>
      <c r="C30" t="s">
        <v>24</v>
      </c>
    </row>
    <row r="32" spans="1:4" x14ac:dyDescent="0.25">
      <c r="B32" t="s">
        <v>322</v>
      </c>
    </row>
    <row r="33" spans="2:4" x14ac:dyDescent="0.25">
      <c r="B33" s="12">
        <v>940</v>
      </c>
    </row>
    <row r="36" spans="2:4" x14ac:dyDescent="0.25">
      <c r="D36" s="20">
        <f>GETPIVOTDATA("Minecraft Season Pass Price",$B$32)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8"/>
  <sheetViews>
    <sheetView showGridLines="0" tabSelected="1" zoomScale="80" zoomScaleNormal="80" workbookViewId="0">
      <selection activeCell="W19" sqref="W19"/>
    </sheetView>
  </sheetViews>
  <sheetFormatPr defaultRowHeight="15" x14ac:dyDescent="0.25"/>
  <cols>
    <col min="1" max="1" width="27.42578125" style="4" customWidth="1"/>
    <col min="2" max="2" width="3.5703125" style="7" customWidth="1"/>
    <col min="3" max="11" width="9.140625" style="7"/>
    <col min="12" max="12" width="6.5703125" style="7" customWidth="1"/>
    <col min="13" max="16384" width="9.140625" style="7"/>
  </cols>
  <sheetData>
    <row r="1" spans="1:17" customFormat="1" x14ac:dyDescent="0.25">
      <c r="A1" s="4"/>
    </row>
    <row r="2" spans="1:17" customFormat="1" ht="39" customHeight="1" x14ac:dyDescent="0.45">
      <c r="A2" s="4"/>
      <c r="C2" s="17" t="s">
        <v>318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customFormat="1" ht="18.75" customHeight="1" x14ac:dyDescent="0.25">
      <c r="A3" s="4"/>
      <c r="J3" s="16"/>
    </row>
    <row r="4" spans="1:17" ht="8.25" customHeight="1" x14ac:dyDescent="0.25"/>
    <row r="5" spans="1:17" ht="7.5" customHeight="1" x14ac:dyDescent="0.25"/>
    <row r="6" spans="1:17" ht="10.5" customHeight="1" x14ac:dyDescent="0.25"/>
    <row r="7" spans="1:17" ht="9.75" customHeight="1" x14ac:dyDescent="0.25"/>
    <row r="8" spans="1:17" ht="33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A̳ssets</vt:lpstr>
      <vt:lpstr>B̳ases</vt:lpstr>
      <vt:lpstr>C̳álculos</vt:lpstr>
      <vt:lpstr>D̳ashboard</vt:lpstr>
      <vt:lpstr>tbl_annual_value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FRANCISCO ROCHA NETO</cp:lastModifiedBy>
  <dcterms:created xsi:type="dcterms:W3CDTF">2024-12-19T13:13:10Z</dcterms:created>
  <dcterms:modified xsi:type="dcterms:W3CDTF">2026-01-22T21:08:22Z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